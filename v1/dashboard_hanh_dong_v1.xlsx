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2" activeTab="1"/>
  </bookViews>
  <sheets>
    <sheet name="Dashboard" sheetId="4" r:id="rId1"/>
    <sheet name="Workflow" sheetId="3" r:id="rId2"/>
    <sheet name="Roadmap" sheetId="2" r:id="rId3"/>
    <sheet name="Evidence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<sst xmlns="http://schemas.openxmlformats.org/spreadsheetml/2006/main" count="164" uniqueCount="151">
  <si>
    <t>Dashboard Hành Động — Bản v1 trước phản biện</t>
  </si>
  <si>
    <t>Auto-CV Screener Agent | Nhóm người dùng: Recruiter/HR | Phạm vi: 1 JD, tối đa 50 CV pilot</t>
  </si>
  <si>
    <t>Quyết định hiện tại</t>
  </si>
  <si>
    <t>Nguyên tắc gate</t>
  </si>
  <si>
    <t>Pilot hẹp; cần phản biện thêm về chất lượng và human handoff</t>
  </si>
  <si>
    <t>BẢNG CHỈ SỐ RA QUYẾT ĐỊNH</t>
  </si>
  <si>
    <t>Chỉ số</t>
  </si>
  <si>
    <t>Loại</t>
  </si>
  <si>
    <t>Baseline</t>
  </si>
  <si>
    <t>Target</t>
  </si>
  <si>
    <t>Đơn vị</t>
  </si>
  <si>
    <t>Hướng</t>
  </si>
  <si>
    <t>Nguồn dữ liệu</t>
  </si>
  <si>
    <t>Owner</t>
  </si>
  <si>
    <t>Khi chỉ số xấu</t>
  </si>
  <si>
    <t>Trạng thái</t>
  </si>
  <si>
    <t>Số CV được AI xử lý</t>
  </si>
  <si>
    <t>Activity</t>
  </si>
  <si>
    <t>CV</t>
  </si>
  <si>
    <t>≥</t>
  </si>
  <si>
    <t>Agent run log</t>
  </si>
  <si>
    <t>Nguyễn Trọng Nam</t>
  </si>
  <si>
    <t>Tìm lỗi upload, quyền truy cập và onboarding</t>
  </si>
  <si>
    <t>Thời gian xử lý trung bình/CV</t>
  </si>
  <si>
    <t>Workflow</t>
  </si>
  <si>
    <t>giây</t>
  </si>
  <si>
    <t>≤</t>
  </si>
  <si>
    <t>Agent log + tự khai</t>
  </si>
  <si>
    <t>Phùng Hồng Phước</t>
  </si>
  <si>
    <t>Kiểm tra latency, batch và bước gây chậm</t>
  </si>
  <si>
    <t>Độ chính xác tương đồng HR</t>
  </si>
  <si>
    <t>Product</t>
  </si>
  <si>
    <t>%</t>
  </si>
  <si>
    <t>Benchmark nội bộ 100 CV</t>
  </si>
  <si>
    <t>Rà prompt, rubric và dữ liệu test</t>
  </si>
  <si>
    <t>Chi phí mỗi CV</t>
  </si>
  <si>
    <t>USD</t>
  </si>
  <si>
    <t>API usage log</t>
  </si>
  <si>
    <t>Giảm token hoặc dùng fallback model</t>
  </si>
  <si>
    <t>Ghi chú phương pháp</t>
  </si>
  <si>
    <t>V1 ưu tiên activity, average time và cost; sau phản biện cần nâng lên quality/value và human handoff.</t>
  </si>
  <si>
    <t>Gate metric</t>
  </si>
  <si>
    <t>Agreement HR</t>
  </si>
  <si>
    <t>Evidence hợp lệ</t>
  </si>
  <si>
    <t>Workflow AS-IS / TO-BE — Human-in-the-loop</t>
  </si>
  <si>
    <t>Ba điểm bắt buộc: nguồn kiểm chứng · người chịu trách nhiệm · cách xử lý khi AI không chắc chắn</t>
  </si>
  <si>
    <t>Bước</t>
  </si>
  <si>
    <t>AS-IS hiện tại</t>
  </si>
  <si>
    <t>TO-BE sau thiết kế</t>
  </si>
  <si>
    <t>Vùng Mollick / Role</t>
  </si>
  <si>
    <t>Nguồn kiểm chứng</t>
  </si>
  <si>
    <t>Handoff / xử lý lỗi</t>
  </si>
  <si>
    <t>1. Nhận JD</t>
  </si>
  <si>
    <t>Recruiter nhận JD và tự diễn giải tiêu chí</t>
  </si>
  <si>
    <t>Nhập JD, khóa rubric phiên bản và tiêu chí không được dùng</t>
  </si>
  <si>
    <t>Người giữ quyền — Recruiter/HR</t>
  </si>
  <si>
    <t>JD + rubric được HR xác nhận</t>
  </si>
  <si>
    <t>Nếu rubric mơ hồ → trả lại HR Lead</t>
  </si>
  <si>
    <t>2. Nhận CV</t>
  </si>
  <si>
    <t>Mở từng file, đọc và ghi chú thủ công</t>
  </si>
  <si>
    <t>Upload batch; hệ thống ghi job_id và timestamp</t>
  </si>
  <si>
    <t>AI tự động có kiểm soát</t>
  </si>
  <si>
    <t>Workflow log</t>
  </si>
  <si>
    <t>Lỗi file/quyền → dừng batch, ghi log</t>
  </si>
  <si>
    <t>3. Bảo mật</t>
  </si>
  <si>
    <t>Chưa có bước kiểm tra PII rõ ràng</t>
  </si>
  <si>
    <t>Mask tên, email, SĐT, tuổi trước khi gọi model</t>
  </si>
  <si>
    <t>Masking test + API request log</t>
  </si>
  <si>
    <t>Có PII → chặn request, chuyển Phước</t>
  </si>
  <si>
    <t>4. Phân loại</t>
  </si>
  <si>
    <t>Recruiter tự đối chiếu CV với JD</t>
  </si>
  <si>
    <t>AI trích xuất tiêu chí, xếp Tier, trả evidence từng tiêu chí</t>
  </si>
  <si>
    <t>AI hỗ trợ, người kiểm</t>
  </si>
  <si>
    <t>Đoạn evidence trong CV + rubric version</t>
  </si>
  <si>
    <t>Thiếu evidence/confidence &lt;0.75 → Needs human review</t>
  </si>
  <si>
    <t>5. QA mẫu</t>
  </si>
  <si>
    <t>Kiểm tra lại không theo tỷ lệ cố định</t>
  </si>
  <si>
    <t>QA mẫu tối thiểu 20%, ưu tiên nhóm confidence thấp</t>
  </si>
  <si>
    <t>QA sample log</t>
  </si>
  <si>
    <t>Rework &gt;10% → tăng QA 100% nhóm lỗi</t>
  </si>
  <si>
    <t>6. Quyết định</t>
  </si>
  <si>
    <t>Recruiter tự quyết nhưng không có gate ghi nhận</t>
  </si>
  <si>
    <t>Recruiter duyệt Tier cuối; không tự động loại ứng viên</t>
  </si>
  <si>
    <t>Người giữ quyền</t>
  </si>
  <si>
    <t>Recruiter decision log</t>
  </si>
  <si>
    <t>Ngoại lệ/tiêu chí mâu thuẫn → chuyển HR Lead</t>
  </si>
  <si>
    <t>7. Phản hồi</t>
  </si>
  <si>
    <t>Lỗi được sửa rời rạc, khó học lại</t>
  </si>
  <si>
    <t>Ghi lý do sửa và đưa vào golden set/eval pipeline</t>
  </si>
  <si>
    <t>Feedback log + eval set</t>
  </si>
  <si>
    <t>Lỗi lặp lại → freeze rollout và cập nhật rubric</t>
  </si>
  <si>
    <t>Roadmap 30–60–90 — Các cổng quyết định</t>
  </si>
  <si>
    <t>Mỗi giai đoạn chỉ chuyển tiếp khi bằng chứng đạt ngưỡng; đây không phải lịch rollout cứng.</t>
  </si>
  <si>
    <t>Giai đoạn</t>
  </si>
  <si>
    <t>Column1</t>
  </si>
  <si>
    <t>Column2</t>
  </si>
  <si>
    <t>Column3</t>
  </si>
  <si>
    <t>Column4</t>
  </si>
  <si>
    <t>0–30 ngày</t>
  </si>
  <si>
    <t>Chứng minh vấn đề và khóa phạm vi</t>
  </si>
  <si>
    <t>1 JD/50 CV; chốt rubric; masking; quyền truy cập; baseline timestamp/evidence</t>
  </si>
  <si>
    <t>Hải / Phước / Nam</t>
  </si>
  <si>
    <t>HR xác nhận rubric; log đủ; không PII; golden set và gate được chốt</t>
  </si>
  <si>
    <t>31–60 ngày</t>
  </si>
  <si>
    <t>Chứng minh chất lượng và hành vi</t>
  </si>
  <si>
    <t>Bật citation; QA ≥20%; recruiter dùng human gate; theo dõi agreement, evidence, median time, rework</t>
  </si>
  <si>
    <t>Nam / Hải / Phước</t>
  </si>
  <si>
    <t>Evidence ≥95%; agreement ≥90%; median ≤90 giây; rework ≤10% hoặc có kế hoạch sửa</t>
  </si>
  <si>
    <t>61–90 ngày</t>
  </si>
  <si>
    <t>Quyết định mở rộng</t>
  </si>
  <si>
    <t>So với target; rà governance; chốt owner vận hành; chỉ thử thêm vị trí khi gate đạt</t>
  </si>
  <si>
    <t>Hai chu kỳ liên tiếp đạt gate; release note ghi rõ mở rộng/sửa/dừng</t>
  </si>
  <si>
    <t>Không rollout nếu một trong các gate chất lượng, tốc độ, rework hoặc PII không đạt. Khi xấu: quay lại chẩn đoán nguyên nhân, sửa workflow/rubric/kiểm soát rồi đo lại.</t>
  </si>
  <si>
    <t>Quy tắc quyết định</t>
  </si>
  <si>
    <t>Evidence Register &amp; Framework Mapping</t>
  </si>
  <si>
    <t>Dữ liệu minh hoạ/ẩn danh; không đưa CV, tên ứng viên hoặc PII vào repo công khai.</t>
  </si>
  <si>
    <t>Bằng chứng</t>
  </si>
  <si>
    <t>Nhận định sử dụng</t>
  </si>
  <si>
    <t>Nguồn</t>
  </si>
  <si>
    <t>Liên kết framework</t>
  </si>
  <si>
    <t>Benchmark 100 CV</t>
  </si>
  <si>
    <t>Benchmark nội bộ</t>
  </si>
  <si>
    <t>86% tương đồng HR; false negative &lt;5%; chi phí khoảng 0.015 USD/CV</t>
  </si>
  <si>
    <t>Báo cáo Day 27 của dự án</t>
  </si>
  <si>
    <t>Gartner-Lite Readiness; metric chất lượng</t>
  </si>
  <si>
    <t>Thời gian sơ loại thủ công</t>
  </si>
  <si>
    <t>Quan sát/ước lượng workflow</t>
  </si>
  <si>
    <t>Khoảng 3–5 phút/CV; cần đo lại bằng timestamp log</t>
  </si>
  <si>
    <t>Báo cáo Day 27</t>
  </si>
  <si>
    <t>Workflow metric; Mollick</t>
  </si>
  <si>
    <t>Team health chất lượng AI</t>
  </si>
  <si>
    <t>Đánh giá nhóm</t>
  </si>
  <si>
    <t>Chất lượng AI 3.3/5; thiếu eval pipeline là gap ưu tiên</t>
  </si>
  <si>
    <t>ADKAR Ability/Reinforcement</t>
  </si>
  <si>
    <t>Human-in-the-loop</t>
  </si>
  <si>
    <t>Thiết kế vận hành</t>
  </si>
  <si>
    <t>Recruiter duyệt cuối; AI không được tự động loại ứng viên</t>
  </si>
  <si>
    <t>Bản thiết kế TO-BE của lab</t>
  </si>
  <si>
    <t>Mollick; kiến trúc tin cậy</t>
  </si>
  <si>
    <t>PII masking</t>
  </si>
  <si>
    <t>Kiểm soát rủi ro</t>
  </si>
  <si>
    <t>Mask tên, tuổi, giới tính, email, SĐT trước khi gọi model</t>
  </si>
  <si>
    <t>Kế hoạch MVP Day 27</t>
  </si>
  <si>
    <t>Gartner-Lite Readiness; governance</t>
  </si>
  <si>
    <t>Framework summary</t>
  </si>
  <si>
    <t>Gartner-Lite</t>
  </si>
  <si>
    <t>Direction đạt; Readiness và Absorption thiếu owner dữ liệu, governance, eval pipeline và vòng phản hồi.</t>
  </si>
  <si>
    <t>Mollick</t>
  </si>
  <si>
    <t>AI hỗ trợ; recruiter giữ quyền quyết định; tự động hóa chỉ cho masking/schema/log có kiểm soát.</t>
  </si>
  <si>
    <t>ADKAR</t>
  </si>
  <si>
    <t>Nghẽn Desire/Ability/Reinforcement; cần evidence, thực hành trong workflow và feedback loop, không chỉ training.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</si>
</sst>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0.000"/>
  </numFmts>
  <fonts count="25">
    <font>
      <sz val="11"/>
      <color theme="1"/>
      <name val="Calibri"/>
      <charset val="134"/>
      <scheme val="minor"/>
    </font>
    <font>
      <sz val="10"/>
      <color theme="1"/>
      <name val="Aptos"/>
      <charset val="134"/>
    </font>
    <font>
      <b/>
      <sz val="16"/>
      <color rgb="FFFFFFFF"/>
      <name val="Aptos"/>
      <charset val="134"/>
    </font>
    <font>
      <i/>
      <sz val="10"/>
      <color rgb="FF59677A"/>
      <name val="Aptos"/>
      <charset val="134"/>
    </font>
    <font>
      <b/>
      <sz val="10"/>
      <color rgb="FFFFFFFF"/>
      <name val="Aptos"/>
      <charset val="134"/>
    </font>
    <font>
      <b/>
      <sz val="10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274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2DAE2"/>
      </left>
      <right style="thin">
        <color rgb="FFD2DAE2"/>
      </right>
      <top style="thin">
        <color rgb="FFD2DAE2"/>
      </top>
      <bottom style="thin">
        <color rgb="FFD2DA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5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>
      <alignment vertical="center"/>
    </xf>
    <xf numFmtId="1" fontId="1" fillId="0" borderId="1" xfId="0" applyNumberFormat="1" applyFont="1" applyBorder="1" applyAlignment="1">
      <alignment vertical="top" wrapText="1"/>
    </xf>
    <xf numFmtId="9" fontId="1" fillId="0" borderId="1" xfId="0" applyNumberFormat="1" applyFont="1" applyBorder="1" applyAlignment="1">
      <alignment vertical="top" wrapText="1"/>
    </xf>
    <xf numFmtId="178" fontId="1" fillId="0" borderId="1" xfId="0" applyNumberFormat="1" applyFont="1" applyBorder="1" applyAlignment="1">
      <alignment vertical="top" wrapText="1"/>
    </xf>
    <xf numFmtId="9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color rgb="FF2F5424"/>
      </font>
      <fill>
        <patternFill patternType="solid">
          <bgColor rgb="FFE2EFDA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Quality gates — baseline vs target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Dashboard!$L$21</c:f>
              <c:strCache>
                <c:ptCount val="1"/>
                <c:pt idx="0">
                  <c:v>Agreement HR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Dashboard!$M$20:$N$20</c:f>
              <c:strCache>
                <c:ptCount val="2"/>
                <c:pt idx="0">
                  <c:v>Baseline</c:v>
                </c:pt>
                <c:pt idx="1">
                  <c:v>Target</c:v>
                </c:pt>
              </c:strCache>
            </c:strRef>
          </c:cat>
          <c:val>
            <c:numRef>
              <c:f>Dashboard!$M$21:$N$21</c:f>
              <c:numCache>
                <c:formatCode>0%</c:formatCode>
                <c:ptCount val="2"/>
                <c:pt idx="0">
                  <c:v>0.86</c:v>
                </c:pt>
                <c:pt idx="1">
                  <c:v>0.85</c:v>
                </c:pt>
              </c:numCache>
            </c:numRef>
          </c:val>
        </c:ser>
        <c:ser>
          <c:idx val="1"/>
          <c:order val="1"/>
          <c:tx>
            <c:strRef>
              <c:f>Dashboard!$L$22</c:f>
              <c:strCache>
                <c:ptCount val="1"/>
                <c:pt idx="0">
                  <c:v>Evidence hợp lệ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Dashboard!$M$20:$N$20</c:f>
              <c:strCache>
                <c:ptCount val="2"/>
                <c:pt idx="0">
                  <c:v>Baseline</c:v>
                </c:pt>
                <c:pt idx="1">
                  <c:v>Target</c:v>
                </c:pt>
              </c:strCache>
            </c:strRef>
          </c:cat>
          <c:val>
            <c:numRef>
              <c:f>Dashboard!$M$22:$N$22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909762"/>
        <c:axId val="387510201"/>
      </c:barChart>
      <c:catAx>
        <c:axId val="31390976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7510201"/>
        <c:crosses val="autoZero"/>
        <c:auto val="1"/>
        <c:lblAlgn val="ctr"/>
        <c:lblOffset val="100"/>
        <c:noMultiLvlLbl val="0"/>
      </c:catAx>
      <c:valAx>
        <c:axId val="387510201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909762"/>
        <c:crosses val="autoZero"/>
        <c:crossBetween val="between"/>
      </c:valAx>
    </c:plotArea>
    <c:legend>
      <c:legendPos val="t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330200</xdr:colOff>
      <xdr:row>2</xdr:row>
      <xdr:rowOff>12700</xdr:rowOff>
    </xdr:from>
    <xdr:to>
      <xdr:col>23</xdr:col>
      <xdr:colOff>139700</xdr:colOff>
      <xdr:row>9</xdr:row>
      <xdr:rowOff>749300</xdr:rowOff>
    </xdr:to>
    <xdr:graphicFrame>
      <xdr:nvGraphicFramePr>
        <xdr:cNvPr id="2" name="Chart 1"/>
        <xdr:cNvGraphicFramePr/>
      </xdr:nvGraphicFramePr>
      <xdr:xfrm>
        <a:off x="18999200" y="698500"/>
        <a:ext cx="624078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etrics_v1" displayName="Metrics_v1" ref="A8:J12" totalsRowShown="0">
  <autoFilter xmlns:etc="http://www.wps.cn/officeDocument/2017/etCustomData" ref="A8:J12" etc:filterBottomFollowUsedRange="0"/>
  <tableColumns count="10">
    <tableColumn id="1" name="Chỉ số" dataDxfId="0"/>
    <tableColumn id="2" name="Loại" dataDxfId="1"/>
    <tableColumn id="3" name="Baseline"/>
    <tableColumn id="4" name="Target"/>
    <tableColumn id="5" name="Đơn vị" dataDxfId="2"/>
    <tableColumn id="6" name="Hướng" dataDxfId="3"/>
    <tableColumn id="7" name="Nguồn dữ liệu" dataDxfId="4"/>
    <tableColumn id="8" name="Owner" dataDxfId="5"/>
    <tableColumn id="9" name="Khi chỉ số xấu" dataDxfId="6"/>
    <tableColumn id="10" name="Trạng thái" dataDxfId="7">
      <calculatedColumnFormula>IF(OR(C9="",ISTEXT(C9)),"Chưa đo",IF(F9="≤",IF(C9&lt;=D9,"Đạt","Cần xử lý"),IF(C9&gt;=D9,"Đạt","Cần xử lý")))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_v1" displayName="Workflow_v1" ref="A4:F11" totalsRowShown="0">
  <autoFilter xmlns:etc="http://www.wps.cn/officeDocument/2017/etCustomData" ref="A4:F11" etc:filterBottomFollowUsedRange="0"/>
  <tableColumns count="6">
    <tableColumn id="1" name="Bước" dataDxfId="11"/>
    <tableColumn id="2" name="AS-IS hiện tại" dataDxfId="12"/>
    <tableColumn id="3" name="TO-BE sau thiết kế" dataDxfId="13"/>
    <tableColumn id="4" name="Vùng Mollick / Role" dataDxfId="14"/>
    <tableColumn id="5" name="Nguồn kiểm chứng" dataDxfId="15"/>
    <tableColumn id="6" name="Handoff / xử lý lỗi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admap_v1" displayName="Roadmap_v1" ref="A4:E11" totalsRowShown="0">
  <autoFilter xmlns:etc="http://www.wps.cn/officeDocument/2017/etCustomData" ref="A4:E11" etc:filterBottomFollowUsedRange="0"/>
  <tableColumns count="5">
    <tableColumn id="1" name="Giai đoạn" dataDxfId="17"/>
    <tableColumn id="2" name="Column1" dataDxfId="18"/>
    <tableColumn id="3" name="Column2" dataDxfId="19"/>
    <tableColumn id="4" name="Column3" dataDxfId="20"/>
    <tableColumn id="5" name="Column4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_v1" displayName="Evidence_v1" ref="A4:E15" totalsRowShown="0">
  <autoFilter xmlns:etc="http://www.wps.cn/officeDocument/2017/etCustomData" ref="A4:E15" etc:filterBottomFollowUsedRange="0"/>
  <tableColumns count="5">
    <tableColumn id="1" name="Bằng chứng" dataDxfId="22"/>
    <tableColumn id="2" name="Loại" dataDxfId="23"/>
    <tableColumn id="3" name="Nhận định sử dụng" dataDxfId="24"/>
    <tableColumn id="4" name="Nguồn" dataDxfId="25"/>
    <tableColumn id="5" name="Liên kết framework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2"/>
  <sheetViews>
    <sheetView showGridLines="0" workbookViewId="0">
      <pane topLeftCell="A1" activePane="bottomRight" state="frozen"/>
      <selection activeCell="A9" sqref="A9"/>
    </sheetView>
  </sheetViews>
  <sheetFormatPr defaultColWidth="8.88888888888889" defaultRowHeight="13.2"/>
  <cols>
    <col min="1" max="1" width="34.7777777777778" style="1" customWidth="1"/>
    <col min="2" max="2" width="22.7777777777778" style="1" customWidth="1"/>
    <col min="3" max="3" width="15.7777777777778" style="1" customWidth="1"/>
    <col min="4" max="4" width="13.7777777777778" style="1" customWidth="1"/>
    <col min="5" max="5" width="11.7777777777778" style="1" customWidth="1"/>
    <col min="6" max="6" width="10.7777777777778" style="1" customWidth="1"/>
    <col min="7" max="7" width="29.7777777777778" style="1" customWidth="1"/>
    <col min="8" max="8" width="24.7777777777778" style="1" customWidth="1"/>
    <col min="9" max="9" width="46.7777777777778" style="1" customWidth="1"/>
    <col min="10" max="10" width="15.7777777777778" style="1" customWidth="1"/>
    <col min="11" max="11" width="8.88888888888889" style="1"/>
    <col min="12" max="12" width="22.7777777777778" style="1" customWidth="1"/>
    <col min="13" max="14" width="13.7777777777778" style="1" customWidth="1"/>
    <col min="15" max="16384" width="8.88888888888889" style="1"/>
  </cols>
  <sheetData>
    <row r="1" ht="30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4" customHeight="1" spans="1:1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>
      <c r="A4" s="14" t="s">
        <v>2</v>
      </c>
      <c r="B4" s="15"/>
      <c r="D4" s="14" t="s">
        <v>3</v>
      </c>
      <c r="E4" s="15"/>
      <c r="F4" s="15"/>
    </row>
    <row r="5" spans="1:10">
      <c r="A5" s="13" t="s">
        <v>4</v>
      </c>
      <c r="B5" s="13"/>
      <c r="C5" s="13"/>
      <c r="D5" s="13"/>
      <c r="E5" s="13"/>
      <c r="F5" s="13"/>
    </row>
    <row r="7" spans="1:10">
      <c r="A7" s="16" t="s">
        <v>5</v>
      </c>
      <c r="B7" s="17"/>
      <c r="C7" s="17"/>
      <c r="D7" s="17"/>
      <c r="E7" s="17"/>
      <c r="F7" s="17"/>
      <c r="G7" s="17"/>
      <c r="H7" s="17"/>
      <c r="I7" s="17"/>
      <c r="J7" s="17"/>
    </row>
    <row r="8" ht="34" customHeight="1" spans="1:10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</row>
    <row r="9" ht="42" customHeight="1" spans="1:10">
      <c r="A9" s="7" t="s">
        <v>16</v>
      </c>
      <c r="B9" s="7" t="s">
        <v>17</v>
      </c>
      <c r="C9" s="7">
        <v>0</v>
      </c>
      <c r="D9" s="7">
        <v>50</v>
      </c>
      <c r="E9" s="7" t="s">
        <v>18</v>
      </c>
      <c r="F9" s="7" t="s">
        <v>19</v>
      </c>
      <c r="G9" s="7" t="s">
        <v>20</v>
      </c>
      <c r="H9" s="7" t="s">
        <v>21</v>
      </c>
      <c r="I9" s="7" t="s">
        <v>22</v>
      </c>
      <c r="J9" s="7" t="str">
        <f>IF(OR(C9="",ISTEXT(C9)),"Chưa đo",IF(F9="≤",IF(C9&lt;=D9,"Đạt","Cần xử lý"),IF(C9&gt;=D9,"Đạt","Cần xử lý")))</f>
        <v>Cần xử lý</v>
      </c>
    </row>
    <row r="10" ht="42" customHeight="1" spans="1:10">
      <c r="A10" s="7" t="s">
        <v>23</v>
      </c>
      <c r="B10" s="7" t="s">
        <v>24</v>
      </c>
      <c r="C10" s="18">
        <v>240</v>
      </c>
      <c r="D10" s="18">
        <v>15</v>
      </c>
      <c r="E10" s="7" t="s">
        <v>25</v>
      </c>
      <c r="F10" s="7" t="s">
        <v>26</v>
      </c>
      <c r="G10" s="7" t="s">
        <v>27</v>
      </c>
      <c r="H10" s="7" t="s">
        <v>28</v>
      </c>
      <c r="I10" s="7" t="s">
        <v>29</v>
      </c>
      <c r="J10" s="7" t="str">
        <f>IF(OR(C10="",ISTEXT(C10)),"Chưa đo",IF(F10="≤",IF(C10&lt;=D10,"Đạt","Cần xử lý"),IF(C10&gt;=D10,"Đạt","Cần xử lý")))</f>
        <v>Cần xử lý</v>
      </c>
    </row>
    <row r="11" ht="42" customHeight="1" spans="1:10">
      <c r="A11" s="7" t="s">
        <v>30</v>
      </c>
      <c r="B11" s="7" t="s">
        <v>31</v>
      </c>
      <c r="C11" s="19">
        <v>0.86</v>
      </c>
      <c r="D11" s="19">
        <v>0.85</v>
      </c>
      <c r="E11" s="7" t="s">
        <v>32</v>
      </c>
      <c r="F11" s="7" t="s">
        <v>19</v>
      </c>
      <c r="G11" s="7" t="s">
        <v>33</v>
      </c>
      <c r="H11" s="7" t="s">
        <v>21</v>
      </c>
      <c r="I11" s="7" t="s">
        <v>34</v>
      </c>
      <c r="J11" s="7" t="str">
        <f>IF(OR(C11="",ISTEXT(C11)),"Chưa đo",IF(F11="≤",IF(C11&lt;=D11,"Đạt","Cần xử lý"),IF(C11&gt;=D11,"Đạt","Cần xử lý")))</f>
        <v>Đạt</v>
      </c>
    </row>
    <row r="12" ht="42" customHeight="1" spans="1:10">
      <c r="A12" s="7" t="s">
        <v>35</v>
      </c>
      <c r="B12" s="7" t="s">
        <v>31</v>
      </c>
      <c r="C12" s="20">
        <v>0.015</v>
      </c>
      <c r="D12" s="20">
        <v>0.02</v>
      </c>
      <c r="E12" s="7" t="s">
        <v>36</v>
      </c>
      <c r="F12" s="7" t="s">
        <v>26</v>
      </c>
      <c r="G12" s="7" t="s">
        <v>37</v>
      </c>
      <c r="H12" s="7" t="s">
        <v>28</v>
      </c>
      <c r="I12" s="7" t="s">
        <v>38</v>
      </c>
      <c r="J12" s="7" t="str">
        <f>IF(OR(C12="",ISTEXT(C12)),"Chưa đo",IF(F12="≤",IF(C12&lt;=D12,"Đạt","Cần xử lý"),IF(C12&gt;=D12,"Đạt","Cần xử lý")))</f>
        <v>Đạt</v>
      </c>
    </row>
    <row r="13" ht="42" customHeight="1"/>
    <row r="16" spans="1:10">
      <c r="A16" s="14" t="s">
        <v>39</v>
      </c>
      <c r="B16" s="15"/>
    </row>
    <row r="17" spans="1:14">
      <c r="A17" s="13" t="s">
        <v>40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4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20" spans="1:14">
      <c r="L20" s="1" t="s">
        <v>41</v>
      </c>
      <c r="M20" s="1" t="s">
        <v>8</v>
      </c>
      <c r="N20" s="1" t="s">
        <v>9</v>
      </c>
    </row>
    <row r="21" spans="1:14">
      <c r="L21" s="1" t="s">
        <v>42</v>
      </c>
      <c r="M21" s="21">
        <v>0.86</v>
      </c>
      <c r="N21" s="21">
        <v>0.85</v>
      </c>
    </row>
    <row r="22" spans="1:14">
      <c r="L22" s="1" t="s">
        <v>43</v>
      </c>
      <c r="M22" s="21">
        <v>0</v>
      </c>
      <c r="N22" s="21">
        <v>0</v>
      </c>
    </row>
  </sheetData>
  <mergeCells count="8">
    <mergeCell ref="A1:J1"/>
    <mergeCell ref="A2:J2"/>
    <mergeCell ref="A4:B4"/>
    <mergeCell ref="D4:F4"/>
    <mergeCell ref="A5:F5"/>
    <mergeCell ref="A7:J7"/>
    <mergeCell ref="A16:B16"/>
    <mergeCell ref="A17:J18"/>
  </mergeCells>
  <conditionalFormatting sqref="J12">
    <cfRule type="expression" dxfId="8" priority="1">
      <formula>S20="Đạt"</formula>
    </cfRule>
    <cfRule type="expression" dxfId="9" priority="2">
      <formula>S20="Cần xử lý"</formula>
    </cfRule>
    <cfRule type="expression" dxfId="10" priority="3">
      <formula>S20="Chưa đo"</formula>
    </cfRule>
  </conditionalFormatting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1"/>
  <sheetViews>
    <sheetView showGridLines="0" tabSelected="1" workbookViewId="0">
      <pane topLeftCell="A1" activePane="bottomRight" state="frozen"/>
      <selection activeCell="A5" sqref="A5"/>
    </sheetView>
  </sheetViews>
  <sheetFormatPr defaultColWidth="8.88888888888889" defaultRowHeight="13.2" outlineLevelCol="5"/>
  <cols>
    <col min="1" max="1" width="18.7777777777778" style="1" customWidth="1"/>
    <col min="2" max="2" width="35.7777777777778" style="1" customWidth="1"/>
    <col min="3" max="3" width="42.7777777777778" style="1" customWidth="1"/>
    <col min="4" max="4" width="28.7777777777778" style="1" customWidth="1"/>
    <col min="5" max="5" width="30.7777777777778" style="1" customWidth="1"/>
    <col min="6" max="6" width="42.7777777777778" style="1" customWidth="1"/>
    <col min="7" max="16384" width="8.88888888888889" style="1"/>
  </cols>
  <sheetData>
    <row r="1" ht="30" customHeight="1" spans="1:6">
      <c r="A1" s="2" t="s">
        <v>44</v>
      </c>
      <c r="B1" s="3"/>
      <c r="C1" s="3"/>
      <c r="D1" s="3"/>
      <c r="E1" s="3"/>
      <c r="F1" s="3"/>
    </row>
    <row r="2" ht="24" customHeight="1" spans="1:6">
      <c r="A2" s="4" t="s">
        <v>45</v>
      </c>
      <c r="B2" s="5"/>
      <c r="C2" s="5"/>
      <c r="D2" s="5"/>
      <c r="E2" s="5"/>
      <c r="F2" s="5"/>
    </row>
    <row r="4" ht="34" customHeight="1" spans="1:6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</row>
    <row r="5" ht="60" customHeight="1" spans="1:6">
      <c r="A5" s="7" t="s">
        <v>52</v>
      </c>
      <c r="B5" s="7" t="s">
        <v>53</v>
      </c>
      <c r="C5" s="7" t="s">
        <v>54</v>
      </c>
      <c r="D5" s="7" t="s">
        <v>55</v>
      </c>
      <c r="E5" s="7" t="s">
        <v>56</v>
      </c>
      <c r="F5" s="7" t="s">
        <v>57</v>
      </c>
    </row>
    <row r="6" ht="60" customHeight="1" spans="1:6">
      <c r="A6" s="7" t="s">
        <v>58</v>
      </c>
      <c r="B6" s="7" t="s">
        <v>59</v>
      </c>
      <c r="C6" s="7" t="s">
        <v>60</v>
      </c>
      <c r="D6" s="7" t="s">
        <v>61</v>
      </c>
      <c r="E6" s="7" t="s">
        <v>62</v>
      </c>
      <c r="F6" s="7" t="s">
        <v>63</v>
      </c>
    </row>
    <row r="7" ht="60" customHeight="1" spans="1:6">
      <c r="A7" s="7" t="s">
        <v>64</v>
      </c>
      <c r="B7" s="7" t="s">
        <v>65</v>
      </c>
      <c r="C7" s="7" t="s">
        <v>66</v>
      </c>
      <c r="D7" s="7" t="s">
        <v>61</v>
      </c>
      <c r="E7" s="7" t="s">
        <v>67</v>
      </c>
      <c r="F7" s="7" t="s">
        <v>68</v>
      </c>
    </row>
    <row r="8" ht="60" customHeight="1" spans="1:6">
      <c r="A8" s="7" t="s">
        <v>69</v>
      </c>
      <c r="B8" s="7" t="s">
        <v>70</v>
      </c>
      <c r="C8" s="7" t="s">
        <v>71</v>
      </c>
      <c r="D8" s="7" t="s">
        <v>72</v>
      </c>
      <c r="E8" s="7" t="s">
        <v>73</v>
      </c>
      <c r="F8" s="7" t="s">
        <v>74</v>
      </c>
    </row>
    <row r="9" ht="60" customHeight="1" spans="1:6">
      <c r="A9" s="7" t="s">
        <v>75</v>
      </c>
      <c r="B9" s="7" t="s">
        <v>76</v>
      </c>
      <c r="C9" s="7" t="s">
        <v>77</v>
      </c>
      <c r="D9" s="7" t="s">
        <v>72</v>
      </c>
      <c r="E9" s="7" t="s">
        <v>78</v>
      </c>
      <c r="F9" s="7" t="s">
        <v>79</v>
      </c>
    </row>
    <row r="10" ht="60" customHeight="1" spans="1:6">
      <c r="A10" s="7" t="s">
        <v>80</v>
      </c>
      <c r="B10" s="7" t="s">
        <v>81</v>
      </c>
      <c r="C10" s="7" t="s">
        <v>82</v>
      </c>
      <c r="D10" s="7" t="s">
        <v>83</v>
      </c>
      <c r="E10" s="7" t="s">
        <v>84</v>
      </c>
      <c r="F10" s="7" t="s">
        <v>85</v>
      </c>
    </row>
    <row r="11" ht="60" customHeight="1" spans="1:6">
      <c r="A11" s="7" t="s">
        <v>86</v>
      </c>
      <c r="B11" s="7" t="s">
        <v>87</v>
      </c>
      <c r="C11" s="7" t="s">
        <v>88</v>
      </c>
      <c r="D11" s="7" t="s">
        <v>72</v>
      </c>
      <c r="E11" s="7" t="s">
        <v>89</v>
      </c>
      <c r="F11" s="7" t="s">
        <v>90</v>
      </c>
    </row>
  </sheetData>
  <mergeCells count="2">
    <mergeCell ref="A1:F1"/>
    <mergeCell ref="A2:F2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4"/>
  <sheetViews>
    <sheetView showGridLines="0" workbookViewId="0">
      <selection activeCell="A1" sqref="A1"/>
    </sheetView>
  </sheetViews>
  <sheetFormatPr defaultColWidth="8.88888888888889" defaultRowHeight="13.2" outlineLevelCol="4"/>
  <cols>
    <col min="1" max="1" width="17.7777777777778" style="1" customWidth="1"/>
    <col min="2" max="2" width="30.7777777777778" style="1" customWidth="1"/>
    <col min="3" max="3" width="54.7777777777778" style="1" customWidth="1"/>
    <col min="4" max="4" width="26.7777777777778" style="1" customWidth="1"/>
    <col min="5" max="5" width="54.7777777777778" style="1" customWidth="1"/>
    <col min="6" max="16384" width="8.88888888888889" style="1"/>
  </cols>
  <sheetData>
    <row r="1" ht="30" customHeight="1" spans="1:5">
      <c r="A1" s="2" t="s">
        <v>91</v>
      </c>
      <c r="B1" s="3"/>
      <c r="C1" s="3"/>
      <c r="D1" s="3"/>
      <c r="E1" s="3"/>
    </row>
    <row r="2" ht="24" customHeight="1" spans="1:5">
      <c r="A2" s="4" t="s">
        <v>92</v>
      </c>
      <c r="B2" s="5"/>
      <c r="C2" s="5"/>
      <c r="D2" s="5"/>
      <c r="E2" s="5"/>
    </row>
    <row r="4" ht="34" customHeight="1" spans="1:5">
      <c r="A4" s="6" t="s">
        <v>93</v>
      </c>
      <c r="B4" s="11" t="s">
        <v>94</v>
      </c>
      <c r="C4" s="11" t="s">
        <v>95</v>
      </c>
      <c r="D4" s="11" t="s">
        <v>96</v>
      </c>
      <c r="E4" s="11" t="s">
        <v>97</v>
      </c>
    </row>
    <row r="5" ht="75" customHeight="1" spans="1:5">
      <c r="A5" s="7" t="s">
        <v>98</v>
      </c>
      <c r="B5" s="7" t="s">
        <v>99</v>
      </c>
      <c r="C5" s="7" t="s">
        <v>100</v>
      </c>
      <c r="D5" s="7" t="s">
        <v>101</v>
      </c>
      <c r="E5" s="7" t="s">
        <v>102</v>
      </c>
    </row>
    <row r="6" ht="75" customHeight="1" spans="1:5">
      <c r="A6" s="7" t="s">
        <v>103</v>
      </c>
      <c r="B6" s="7" t="s">
        <v>104</v>
      </c>
      <c r="C6" s="7" t="s">
        <v>105</v>
      </c>
      <c r="D6" s="7" t="s">
        <v>106</v>
      </c>
      <c r="E6" s="7" t="s">
        <v>107</v>
      </c>
    </row>
    <row r="7" ht="75" customHeight="1" spans="1:5">
      <c r="A7" s="7" t="s">
        <v>108</v>
      </c>
      <c r="B7" s="7" t="s">
        <v>109</v>
      </c>
      <c r="C7" s="7" t="s">
        <v>110</v>
      </c>
      <c r="D7" s="7" t="s">
        <v>101</v>
      </c>
      <c r="E7" s="7" t="s">
        <v>111</v>
      </c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9"/>
      <c r="B10" s="9"/>
      <c r="C10" s="7"/>
      <c r="D10" s="7"/>
      <c r="E10" s="7"/>
    </row>
    <row r="11" spans="1:5">
      <c r="A11" s="12"/>
      <c r="B11" s="12"/>
      <c r="C11" s="12"/>
      <c r="D11" s="12"/>
      <c r="E11" s="12"/>
    </row>
    <row r="12" ht="118.8" spans="1:5">
      <c r="A12" s="13" t="s">
        <v>112</v>
      </c>
      <c r="B12" s="13"/>
      <c r="C12" s="13"/>
      <c r="D12" s="13"/>
      <c r="E12" s="13"/>
    </row>
    <row r="14" spans="1:5">
      <c r="A14" s="1" t="s">
        <v>113</v>
      </c>
    </row>
  </sheetData>
  <mergeCells count="2">
    <mergeCell ref="A1:E1"/>
    <mergeCell ref="A2:E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showGridLines="0" workbookViewId="0">
      <selection activeCell="A1" sqref="A1"/>
    </sheetView>
  </sheetViews>
  <sheetFormatPr defaultColWidth="8.88888888888889" defaultRowHeight="13.2" outlineLevelCol="4"/>
  <cols>
    <col min="1" max="1" width="24.7777777777778" style="1" customWidth="1"/>
    <col min="2" max="2" width="92.7777777777778" style="1" customWidth="1"/>
    <col min="3" max="3" width="58.7777777777778" style="1" customWidth="1"/>
    <col min="4" max="4" width="32.7777777777778" style="1" customWidth="1"/>
    <col min="5" max="5" width="34.7777777777778" style="1" customWidth="1"/>
    <col min="6" max="16384" width="8.88888888888889" style="1"/>
  </cols>
  <sheetData>
    <row r="1" ht="30" customHeight="1" spans="1:5">
      <c r="A1" s="2" t="s">
        <v>114</v>
      </c>
      <c r="B1" s="3"/>
      <c r="C1" s="3"/>
      <c r="D1" s="3"/>
      <c r="E1" s="3"/>
    </row>
    <row r="2" ht="24" customHeight="1" spans="1:5">
      <c r="A2" s="4" t="s">
        <v>115</v>
      </c>
      <c r="B2" s="5"/>
      <c r="C2" s="5"/>
      <c r="D2" s="5"/>
      <c r="E2" s="5"/>
    </row>
    <row r="4" ht="34" customHeight="1" spans="1:5">
      <c r="A4" s="6" t="s">
        <v>116</v>
      </c>
      <c r="B4" s="6" t="s">
        <v>7</v>
      </c>
      <c r="C4" s="6" t="s">
        <v>117</v>
      </c>
      <c r="D4" s="6" t="s">
        <v>118</v>
      </c>
      <c r="E4" s="6" t="s">
        <v>119</v>
      </c>
    </row>
    <row r="5" ht="58" customHeight="1" spans="1:5">
      <c r="A5" s="7" t="s">
        <v>120</v>
      </c>
      <c r="B5" s="7" t="s">
        <v>121</v>
      </c>
      <c r="C5" s="7" t="s">
        <v>122</v>
      </c>
      <c r="D5" s="7" t="s">
        <v>123</v>
      </c>
      <c r="E5" s="7" t="s">
        <v>124</v>
      </c>
    </row>
    <row r="6" ht="58" customHeight="1" spans="1:5">
      <c r="A6" s="7" t="s">
        <v>125</v>
      </c>
      <c r="B6" s="7" t="s">
        <v>126</v>
      </c>
      <c r="C6" s="7" t="s">
        <v>127</v>
      </c>
      <c r="D6" s="7" t="s">
        <v>128</v>
      </c>
      <c r="E6" s="7" t="s">
        <v>129</v>
      </c>
    </row>
    <row r="7" ht="58" customHeight="1" spans="1:5">
      <c r="A7" s="7" t="s">
        <v>130</v>
      </c>
      <c r="B7" s="7" t="s">
        <v>131</v>
      </c>
      <c r="C7" s="7" t="s">
        <v>132</v>
      </c>
      <c r="D7" s="7" t="s">
        <v>128</v>
      </c>
      <c r="E7" s="7" t="s">
        <v>133</v>
      </c>
    </row>
    <row r="8" ht="58" customHeight="1" spans="1:5">
      <c r="A8" s="7" t="s">
        <v>134</v>
      </c>
      <c r="B8" s="7" t="s">
        <v>135</v>
      </c>
      <c r="C8" s="7" t="s">
        <v>136</v>
      </c>
      <c r="D8" s="7" t="s">
        <v>137</v>
      </c>
      <c r="E8" s="7" t="s">
        <v>138</v>
      </c>
    </row>
    <row r="9" ht="58" customHeight="1" spans="1:5">
      <c r="A9" s="7" t="s">
        <v>139</v>
      </c>
      <c r="B9" s="7" t="s">
        <v>140</v>
      </c>
      <c r="C9" s="7" t="s">
        <v>141</v>
      </c>
      <c r="D9" s="7" t="s">
        <v>142</v>
      </c>
      <c r="E9" s="7" t="s">
        <v>143</v>
      </c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8" t="s">
        <v>144</v>
      </c>
      <c r="B12" s="9"/>
      <c r="C12" s="7"/>
      <c r="D12" s="7"/>
      <c r="E12" s="7"/>
    </row>
    <row r="13" ht="45" customHeight="1" spans="1:5">
      <c r="A13" s="10" t="s">
        <v>145</v>
      </c>
      <c r="B13" s="7" t="s">
        <v>146</v>
      </c>
      <c r="C13" s="7"/>
      <c r="D13" s="7"/>
      <c r="E13" s="7"/>
    </row>
    <row r="14" ht="45" customHeight="1" spans="1:5">
      <c r="A14" s="10" t="s">
        <v>147</v>
      </c>
      <c r="B14" s="7" t="s">
        <v>148</v>
      </c>
      <c r="C14" s="7"/>
      <c r="D14" s="7"/>
      <c r="E14" s="7"/>
    </row>
    <row r="15" ht="45" customHeight="1" spans="1:5">
      <c r="A15" s="10" t="s">
        <v>149</v>
      </c>
      <c r="B15" s="7" t="s">
        <v>150</v>
      </c>
      <c r="C15" s="7"/>
      <c r="D15" s="7"/>
      <c r="E15" s="7"/>
    </row>
  </sheetData>
  <mergeCells count="2">
    <mergeCell ref="A1:E1"/>
    <mergeCell ref="A2:E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Workflow</vt:lpstr>
      <vt:lpstr>Roadmap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nguye</cp:lastModifiedBy>
  <dcterms:created xsi:type="dcterms:W3CDTF">2026-09-03T05:41:30Z</dcterms:created>
  <dcterms:modified xsi:type="dcterms:W3CDTF">2026-09-03T05:41:32Z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5D3B7077520F4ECA87FAC9D01B03D413_11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